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90e29534d76321d/Desktop/"/>
    </mc:Choice>
  </mc:AlternateContent>
  <xr:revisionPtr revIDLastSave="36" documentId="11_AD4D066CA252ABDACC10481199275C6349B8DF65" xr6:coauthVersionLast="47" xr6:coauthVersionMax="47" xr10:uidLastSave="{D4EC6839-C7E7-4BC7-9501-685376EA236F}"/>
  <bookViews>
    <workbookView xWindow="-120" yWindow="-120" windowWidth="29040" windowHeight="15720" xr2:uid="{00000000-000D-0000-FFFF-FFFF00000000}"/>
  </bookViews>
  <sheets>
    <sheet name="휴무 캘린더" sheetId="2" r:id="rId1"/>
  </sheets>
  <externalReferences>
    <externalReference r:id="rId2"/>
    <externalReference r:id="rId3"/>
    <externalReference r:id="rId4"/>
  </externalReferences>
  <definedNames>
    <definedName name="_xlnm.Print_Area" localSheetId="0">'휴무 캘린더'!$A$1:$G$28</definedName>
    <definedName name="강광후">[2]근무표!$L$2</definedName>
    <definedName name="개인사유키">[3]근무표!$F$2</definedName>
    <definedName name="달력연도">[3]근무표!$AH$4</definedName>
    <definedName name="병가키">[3]근무표!$I$2</definedName>
    <definedName name="사용자지정키1">[3]근무표!$L$2</definedName>
    <definedName name="사용자지정키2">[3]근무표!$Q$2</definedName>
    <definedName name="열제목13">[3]!직원이름[[#Headers],[직원 이름]]</definedName>
    <definedName name="제목1">[3]!_1월[[#Headers],[직원 이름]]</definedName>
    <definedName name="제목10">#REF!</definedName>
    <definedName name="제목11">#REF!</definedName>
    <definedName name="제목12">#REF!</definedName>
    <definedName name="제목2">#REF!</definedName>
    <definedName name="제목3">#REF!</definedName>
    <definedName name="제목4">#REF!</definedName>
    <definedName name="제목5">#REF!</definedName>
    <definedName name="제목6">#REF!</definedName>
    <definedName name="제목7">#REF!</definedName>
    <definedName name="제목8">#REF!</definedName>
    <definedName name="제목9">#REF!</definedName>
    <definedName name="휴가키">[3]근무표!$C$2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6" i="2"/>
  <c r="B25" i="2"/>
  <c r="B24" i="2"/>
  <c r="B23" i="2"/>
  <c r="B22" i="2"/>
  <c r="B21" i="2"/>
  <c r="B20" i="2"/>
  <c r="B19" i="2"/>
  <c r="B18" i="2"/>
  <c r="B17" i="2"/>
  <c r="B16" i="2"/>
  <c r="G28" i="2"/>
  <c r="B15" i="2"/>
  <c r="C28" i="2" l="1" a="1"/>
  <c r="E28" i="2" a="1"/>
  <c r="D28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<sst xmlns="http://schemas.openxmlformats.org/spreadsheetml/2006/main" count="30" uniqueCount="30">
  <si>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</si>
  <si>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</si>
  <si>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</si>
  <si>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</si>
  <si>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</si>
  <si>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</si>
  <si>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</si>
  <si>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성  명</t>
    <phoneticPr fontId="3" type="noConversion"/>
  </si>
  <si>
    <t>근 무 지</t>
    <phoneticPr fontId="3" type="noConversion"/>
  </si>
  <si>
    <t>휴  무</t>
    <phoneticPr fontId="3" type="noConversion"/>
  </si>
  <si>
    <t>연  차</t>
    <phoneticPr fontId="3" type="noConversion"/>
  </si>
  <si>
    <t>공  가</t>
    <phoneticPr fontId="3" type="noConversion"/>
  </si>
  <si>
    <r>
      <t xml:space="preserve">휴무일 </t>
    </r>
    <r>
      <rPr>
        <b/>
        <sz val="20"/>
        <color theme="1"/>
        <rFont val="맑은 고딕"/>
        <family val="3"/>
        <charset val="129"/>
        <scheme val="minor"/>
      </rPr>
      <t>(시간 연차 外)</t>
    </r>
    <phoneticPr fontId="3" type="noConversion"/>
  </si>
  <si>
    <t>계</t>
    <phoneticPr fontId="3" type="noConversion"/>
  </si>
  <si>
    <t>지은석</t>
    <phoneticPr fontId="16" type="noConversion"/>
  </si>
  <si>
    <t>오경수</t>
    <phoneticPr fontId="16" type="noConversion"/>
  </si>
  <si>
    <t>황치웅</t>
    <phoneticPr fontId="3" type="noConversion"/>
  </si>
  <si>
    <t>박준후</t>
    <phoneticPr fontId="16" type="noConversion"/>
  </si>
  <si>
    <t>김동석</t>
    <phoneticPr fontId="16" type="noConversion"/>
  </si>
  <si>
    <t>강광후</t>
    <phoneticPr fontId="16" type="noConversion"/>
  </si>
  <si>
    <t>조성재</t>
    <phoneticPr fontId="16" type="noConversion"/>
  </si>
  <si>
    <t>엄효섭</t>
    <phoneticPr fontId="3" type="noConversion"/>
  </si>
  <si>
    <t>손용진</t>
    <phoneticPr fontId="16" type="noConversion"/>
  </si>
  <si>
    <t>박준영</t>
    <phoneticPr fontId="16" type="noConversion"/>
  </si>
  <si>
    <t>박정영</t>
    <phoneticPr fontId="3" type="noConversion"/>
  </si>
  <si>
    <t>김민기</t>
    <phoneticPr fontId="3" type="noConversion"/>
  </si>
  <si>
    <t>인원 수:</t>
    <phoneticPr fontId="3" type="noConversion"/>
  </si>
  <si>
    <t>합 계 :</t>
    <phoneticPr fontId="3" type="noConversion"/>
  </si>
  <si>
    <t>10월 휴무 일정표</t>
    <phoneticPr fontId="3" type="noConversion"/>
  </si>
  <si>
    <t>휴무 통계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</si>
</sst>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78" formatCode="0\ &quot;년&quot;"/>
    <numFmt numFmtId="179" formatCode="0\ &quot;월&quot;"/>
    <numFmt numFmtId="180" formatCode="mm&quot;월 &quot;dd&quot;일&quot;"/>
    <numFmt numFmtId="181" formatCode="0.0#\ &quot;일&quot;"/>
    <numFmt numFmtId="182" formatCode="General&quot; 명&quot;"/>
    <numFmt numFmtId="183" formatCode="0\ &quot;일&quot;"/>
  </numFmts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4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2"/>
      <color theme="4"/>
      <name val="맑은 고딕"/>
      <family val="3"/>
      <charset val="129"/>
      <scheme val="minor"/>
    </font>
    <font>
      <sz val="36"/>
      <color rgb="FFFF0000"/>
      <name val="맑은 고딕"/>
      <family val="3"/>
      <charset val="129"/>
      <scheme val="minor"/>
    </font>
    <font>
      <sz val="36"/>
      <color theme="1"/>
      <name val="맑은 고딕"/>
      <family val="3"/>
      <charset val="129"/>
      <scheme val="minor"/>
    </font>
    <font>
      <sz val="36"/>
      <color theme="4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4" fillId="0" borderId="0" xfId="0" applyFont="1"/>
    <xf numFmtId="180" fontId="4" fillId="0" borderId="0" xfId="0" applyNumberFormat="1" applyFont="1"/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181" fontId="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/>
    </xf>
    <xf numFmtId="182" fontId="5" fillId="2" borderId="23" xfId="0" applyNumberFormat="1" applyFont="1" applyFill="1" applyBorder="1" applyAlignment="1">
      <alignment horizontal="center" vertical="center"/>
    </xf>
    <xf numFmtId="183" fontId="5" fillId="2" borderId="23" xfId="0" applyNumberFormat="1" applyFont="1" applyFill="1" applyBorder="1" applyAlignment="1">
      <alignment horizontal="center" vertical="center"/>
    </xf>
    <xf numFmtId="183" fontId="5" fillId="4" borderId="24" xfId="0" applyNumberFormat="1" applyFont="1" applyFill="1" applyBorder="1" applyAlignment="1">
      <alignment horizontal="right" vertical="center"/>
    </xf>
    <xf numFmtId="183" fontId="5" fillId="4" borderId="25" xfId="0" applyNumberFormat="1" applyFont="1" applyFill="1" applyBorder="1" applyAlignment="1">
      <alignment horizontal="left" vertical="center"/>
    </xf>
    <xf numFmtId="0" fontId="18" fillId="0" borderId="0" xfId="0" applyFont="1"/>
    <xf numFmtId="183" fontId="18" fillId="0" borderId="0" xfId="0" applyNumberFormat="1" applyFont="1"/>
    <xf numFmtId="180" fontId="19" fillId="2" borderId="5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left" vertical="center"/>
    </xf>
    <xf numFmtId="180" fontId="10" fillId="0" borderId="9" xfId="0" applyNumberFormat="1" applyFont="1" applyFill="1" applyBorder="1" applyAlignment="1">
      <alignment horizontal="left" vertical="center"/>
    </xf>
    <xf numFmtId="0" fontId="10" fillId="0" borderId="9" xfId="1" applyNumberFormat="1" applyFont="1" applyFill="1" applyBorder="1" applyAlignment="1">
      <alignment horizontal="left" vertical="center"/>
    </xf>
    <xf numFmtId="0" fontId="11" fillId="0" borderId="10" xfId="1" applyNumberFormat="1" applyFont="1" applyFill="1" applyBorder="1" applyAlignment="1">
      <alignment horizontal="left" vertical="center"/>
    </xf>
    <xf numFmtId="180" fontId="12" fillId="0" borderId="11" xfId="0" applyNumberFormat="1" applyFont="1" applyFill="1" applyBorder="1" applyAlignment="1">
      <alignment horizontal="left" vertical="top" wrapText="1"/>
    </xf>
    <xf numFmtId="180" fontId="12" fillId="0" borderId="12" xfId="0" applyNumberFormat="1" applyFont="1" applyFill="1" applyBorder="1" applyAlignment="1">
      <alignment horizontal="left" vertical="top" wrapText="1"/>
    </xf>
    <xf numFmtId="180" fontId="12" fillId="0" borderId="13" xfId="0" applyNumberFormat="1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178" fontId="10" fillId="0" borderId="12" xfId="0" applyNumberFormat="1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180" fontId="12" fillId="0" borderId="14" xfId="0" applyNumberFormat="1" applyFont="1" applyFill="1" applyBorder="1" applyAlignment="1">
      <alignment horizontal="left" vertical="top" wrapText="1"/>
    </xf>
    <xf numFmtId="180" fontId="12" fillId="0" borderId="15" xfId="0" applyNumberFormat="1" applyFont="1" applyFill="1" applyBorder="1" applyAlignment="1">
      <alignment horizontal="left" vertical="top" wrapText="1"/>
    </xf>
    <xf numFmtId="180" fontId="12" fillId="0" borderId="16" xfId="0" applyNumberFormat="1" applyFont="1" applyFill="1" applyBorder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23">
    <dxf>
      <font>
        <b/>
        <i val="0"/>
        <strike val="0"/>
        <u val="none"/>
      </font>
      <numFmt numFmtId="0" formatCode="General"/>
      <fill>
        <patternFill>
          <bgColor rgb="FFFFC5C5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b/>
        <i val="0"/>
      </font>
      <numFmt numFmtId="177" formatCode="d"/>
      <fill>
        <patternFill patternType="solid">
          <fgColor auto="1"/>
          <bgColor rgb="FFFFFFFF"/>
        </patternFill>
      </fill>
    </dxf>
    <dxf>
      <numFmt numFmtId="176" formatCode="mm\/dd"/>
      <fill>
        <patternFill>
          <bgColor theme="0" tint="-0.14996795556505021"/>
        </patternFill>
      </fill>
    </dxf>
    <dxf>
      <fill>
        <patternFill>
          <bgColor rgb="FFFFDDD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맑은 고딕"/>
        <family val="3"/>
        <charset val="129"/>
        <scheme val="minor"/>
      </font>
      <numFmt numFmtId="181" formatCode="0.0#\ &quot;일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1" defaultTableStyle="TableStyleMedium2" defaultPivotStyle="PivotStyleLight16">
    <tableStyle name="표 스타일 1" pivot="0" count="7" xr9:uid="{C3E528FF-3B65-4AC2-A522-271B1FF64159}">
      <tableStyleElement type="wholeTable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  <tableStyleElement type="second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90e29534d76321d/Desktop/&#51648;&#49328;&#52280;&#44256;&#50857;/&#51064;&#49324;&#44288;&#47532;&#51109;&#48512;.xlsx" TargetMode="External"/><Relationship Id="rId1" Type="http://schemas.openxmlformats.org/officeDocument/2006/relationships/externalLinkPath" Target="&#51648;&#49328;&#52280;&#44256;&#50857;/&#51064;&#49324;&#44288;&#47532;&#51109;&#48512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e/Desktop/&#48376;&#49324;&#51649;&#50896;%20&#44540;&#47924;&#54364;&#51228;&#52636;&#50857;.xlsx" TargetMode="External"/><Relationship Id="rId2" Type="http://schemas.openxmlformats.org/officeDocument/2006/relationships/externalLinkPath" Target="file:///C:\Users\e\Desktop\&#48376;&#49324;&#51649;&#50896;%20&#44540;&#47924;&#54364;&#51228;&#52636;&#50857;.xlsx" TargetMode="External"/><Relationship Id="rId1" Type="http://schemas.openxmlformats.org/officeDocument/2006/relationships/externalLinkPath" Target="/Users/e/Desktop/&#48376;&#49324;&#51649;&#50896;%20&#44540;&#47924;&#54364;&#51228;&#52636;&#50857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&#48149;&#51456;&#54980;/Desktop/&#51648;&#49328;/&#44592;&#53440;&#47928;&#49436;/&#55092;&#47924;&#51068;&#51221;&#54364;.xlsx" TargetMode="External"/><Relationship Id="rId2" Type="http://schemas.openxmlformats.org/officeDocument/2006/relationships/externalLinkPath" Target="file:///C:\Users\&#48149;&#51456;&#54980;\Desktop\&#51648;&#49328;\&#44592;&#53440;&#47928;&#49436;\&#55092;&#47924;&#51068;&#51221;&#54364;.xlsx" TargetMode="External"/><Relationship Id="rId1" Type="http://schemas.openxmlformats.org/officeDocument/2006/relationships/externalLinkPath" Target="/Users/&#48149;&#51456;&#54980;/Desktop/&#51648;&#49328;/&#44592;&#53440;&#47928;&#49436;/&#55092;&#47924;&#51068;&#51221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직원명부"/>
      <sheetName val="연차관리"/>
      <sheetName val="일정기록"/>
      <sheetName val="휴무 캘린더"/>
      <sheetName val="직원근무표"/>
    </sheetNames>
    <sheetDataSet>
      <sheetData sheetId="0">
        <row r="1">
          <cell r="A1" t="str">
            <v>이름</v>
          </cell>
          <cell r="C1" t="str">
            <v>근무지</v>
          </cell>
        </row>
        <row r="2">
          <cell r="A2" t="str">
            <v>지은석</v>
          </cell>
          <cell r="C2" t="str">
            <v>골프장 주간</v>
          </cell>
        </row>
        <row r="3">
          <cell r="A3" t="str">
            <v>도인욱</v>
          </cell>
          <cell r="C3" t="str">
            <v>골프장 주간</v>
          </cell>
        </row>
        <row r="4">
          <cell r="A4" t="str">
            <v>오경수</v>
          </cell>
          <cell r="C4" t="str">
            <v>골프장 주간</v>
          </cell>
        </row>
        <row r="5">
          <cell r="A5" t="str">
            <v>백종훈</v>
          </cell>
          <cell r="C5" t="str">
            <v>스키장 야간</v>
          </cell>
        </row>
        <row r="6">
          <cell r="A6" t="str">
            <v>한상유</v>
          </cell>
          <cell r="C6" t="str">
            <v>현관</v>
          </cell>
        </row>
        <row r="7">
          <cell r="A7" t="str">
            <v>강평궁</v>
          </cell>
          <cell r="C7" t="str">
            <v>현관</v>
          </cell>
        </row>
        <row r="8">
          <cell r="A8" t="str">
            <v>김윤탁</v>
          </cell>
          <cell r="C8" t="str">
            <v>현관</v>
          </cell>
        </row>
        <row r="9">
          <cell r="A9" t="str">
            <v>강혁구</v>
          </cell>
          <cell r="C9" t="str">
            <v>현관</v>
          </cell>
        </row>
        <row r="10">
          <cell r="A10" t="str">
            <v>정동규</v>
          </cell>
          <cell r="C10" t="str">
            <v>스키장 주간</v>
          </cell>
        </row>
        <row r="11">
          <cell r="A11" t="str">
            <v>권병주</v>
          </cell>
          <cell r="C11" t="str">
            <v>골프장 주간</v>
          </cell>
        </row>
        <row r="12">
          <cell r="A12" t="str">
            <v>황치웅</v>
          </cell>
          <cell r="C12" t="str">
            <v>골프장 주간</v>
          </cell>
        </row>
        <row r="13">
          <cell r="A13" t="str">
            <v>박기범</v>
          </cell>
          <cell r="C13" t="str">
            <v>현관</v>
          </cell>
        </row>
        <row r="14">
          <cell r="A14" t="str">
            <v>이수호</v>
          </cell>
          <cell r="C14" t="str">
            <v>현관</v>
          </cell>
        </row>
        <row r="15">
          <cell r="A15" t="str">
            <v>김용욱</v>
          </cell>
          <cell r="C15" t="str">
            <v>현관</v>
          </cell>
        </row>
        <row r="16">
          <cell r="A16" t="str">
            <v>강광후</v>
          </cell>
          <cell r="C16" t="str">
            <v>스키장 주간</v>
          </cell>
        </row>
        <row r="17">
          <cell r="A17" t="str">
            <v>이병호</v>
          </cell>
          <cell r="C17" t="str">
            <v>현관</v>
          </cell>
        </row>
        <row r="18">
          <cell r="A18" t="str">
            <v>손용진</v>
          </cell>
          <cell r="C18" t="str">
            <v>현관</v>
          </cell>
        </row>
        <row r="19">
          <cell r="A19" t="str">
            <v>최병주</v>
          </cell>
          <cell r="C19" t="str">
            <v>현관</v>
          </cell>
        </row>
        <row r="20">
          <cell r="A20" t="str">
            <v>조성재</v>
          </cell>
          <cell r="C20" t="str">
            <v>스키장 주간</v>
          </cell>
        </row>
        <row r="21">
          <cell r="A21" t="str">
            <v>박준후</v>
          </cell>
          <cell r="C21" t="str">
            <v>골프장 야간</v>
          </cell>
        </row>
        <row r="22">
          <cell r="A22" t="str">
            <v>김동석</v>
          </cell>
          <cell r="C22" t="str">
            <v>골프장 야간</v>
          </cell>
        </row>
        <row r="23">
          <cell r="A23" t="str">
            <v>송정훈</v>
          </cell>
          <cell r="C23" t="str">
            <v>현관</v>
          </cell>
        </row>
        <row r="24">
          <cell r="A24" t="str">
            <v>박준영</v>
          </cell>
          <cell r="C24" t="str">
            <v>현관</v>
          </cell>
        </row>
        <row r="25">
          <cell r="A25" t="str">
            <v>엄효섭</v>
          </cell>
          <cell r="C25" t="str">
            <v>스키장 야간</v>
          </cell>
        </row>
        <row r="26">
          <cell r="A26" t="str">
            <v>박정영</v>
          </cell>
          <cell r="C26" t="str">
            <v>현관</v>
          </cell>
        </row>
        <row r="27">
          <cell r="A27" t="str">
            <v>황치웅</v>
          </cell>
          <cell r="C27" t="str">
            <v>골프장 주간</v>
          </cell>
        </row>
        <row r="28">
          <cell r="A28" t="str">
            <v>김민기</v>
          </cell>
          <cell r="C28" t="str">
            <v>현관</v>
          </cell>
        </row>
      </sheetData>
      <sheetData sheetId="1" refreshError="1"/>
      <sheetData sheetId="2">
        <row r="7">
          <cell r="A7">
            <v>46265</v>
          </cell>
        </row>
      </sheetData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근무표"/>
      <sheetName val="11월"/>
      <sheetName val="12월"/>
      <sheetName val="1월"/>
      <sheetName val="2월"/>
      <sheetName val="3월"/>
      <sheetName val="직원 이름"/>
    </sheetNames>
    <sheetDataSet>
      <sheetData sheetId="0" refreshError="1">
        <row r="2">
          <cell r="C2" t="str">
            <v>휴</v>
          </cell>
          <cell r="L2" t="str">
            <v>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근무표"/>
      <sheetName val="24-11"/>
      <sheetName val="24-12"/>
      <sheetName val="25-01"/>
      <sheetName val="25-02"/>
      <sheetName val="25-03"/>
      <sheetName val="25-04"/>
      <sheetName val="25-05"/>
      <sheetName val="25-06"/>
      <sheetName val="25-07"/>
      <sheetName val="25-08"/>
      <sheetName val="25-09"/>
      <sheetName val="25-10"/>
      <sheetName val="25-11"/>
      <sheetName val="25-12"/>
      <sheetName val="26-01"/>
      <sheetName val="26-02"/>
      <sheetName val="26-03"/>
      <sheetName val="26-04"/>
      <sheetName val="26-05"/>
      <sheetName val="26-06"/>
      <sheetName val="26-07"/>
      <sheetName val="26-08"/>
      <sheetName val="26-09"/>
      <sheetName val="직원 이름"/>
      <sheetName val="휴무일정표"/>
    </sheetNames>
    <sheetDataSet>
      <sheetData sheetId="0">
        <row r="2">
          <cell r="C2" t="str">
            <v>휴</v>
          </cell>
          <cell r="F2" t="str">
            <v>지</v>
          </cell>
          <cell r="I2" t="str">
            <v>병</v>
          </cell>
          <cell r="L2" t="str">
            <v>근</v>
          </cell>
          <cell r="Q2" t="str">
            <v>결</v>
          </cell>
        </row>
        <row r="4">
          <cell r="AH4">
            <v>2024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BD233-A7DF-49E5-9541-D473A0DCBE71}" name="표1" displayName="표1" ref="A14:G26" totalsRowShown="0" headerRowDxfId="15" dataDxfId="14" headerRowBorderDxfId="12" tableBorderDxfId="13" totalsRowBorderDxfId="11">
  <autoFilter ref="A14:G26" xr:uid="{D3B377AC-798D-43D8-B74A-33489C1840B6}"/>
  <tableColumns count="7">
    <tableColumn id="1" xr3:uid="{F2822545-572E-465E-A309-A575A135A933}" name="성  명" dataDxfId="10"/>
    <tableColumn id="2" xr3:uid="{3B61F27D-A202-4BED-8406-7EBBD4A07A41}" name="근 무 지" dataDxfId="9">
      <calculatedColumnFormula>_xlfn.XLOOKUP(A15, [1]직원명부!A:A, [1]직원명부!C:C, "")</calculatedColumnFormula>
    </tableColumn>
    <tableColumn id="3" xr3:uid="{CB967715-9BE6-4AA5-87C4-2489BC0103AC}" name="휴  무" dataDxfId="8"/>
    <tableColumn id="4" xr3:uid="{C37E99FD-0ED6-44E5-8588-F56CACA7CAB6}" name="연  차" dataDxfId="7"/>
    <tableColumn id="5" xr3:uid="{623370D9-5971-4CDA-A0F3-4670E1E90B84}" name="공  가" dataDxfId="6"/>
    <tableColumn id="6" xr3:uid="{AA58300F-7150-482F-B33C-52E912CC6321}" name="휴무일 (시간 연차 外)" dataDxfId="5"/>
    <tableColumn id="7" xr3:uid="{586EEE09-FAF5-4967-B4CD-60C4C32C4ADA}" name="계" dataDxfId="4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585E-E3F9-4DB7-A096-8571D5B064D1}">
  <sheetPr>
    <tabColor theme="4" tint="0.59999389629810485"/>
  </sheetPr>
  <dimension ref="A1:S29"/>
  <sheetViews>
    <sheetView showGridLines="0" tabSelected="1" zoomScale="40" zoomScaleNormal="40" zoomScaleSheetLayoutView="25" workbookViewId="0">
      <selection activeCell="D4" sqref="D4"/>
    </sheetView>
  </sheetViews>
  <sheetFormatPr defaultRowHeight="42.75" customHeight="1" x14ac:dyDescent="0.3"/>
  <cols>
    <col min="1" max="1" width="50.625" style="24" customWidth="1"/>
    <col min="2" max="6" width="50.625" style="1" customWidth="1"/>
    <col min="7" max="7" width="50.625" style="25" customWidth="1"/>
    <col min="8" max="16384" width="9" style="1"/>
  </cols>
  <sheetData>
    <row r="1" spans="1:19" ht="99.95" customHeight="1" thickBot="1" x14ac:dyDescent="0.35">
      <c r="A1" s="26" t="s">
        <v>28</v>
      </c>
      <c r="B1" s="27"/>
      <c r="C1" s="28"/>
      <c r="D1" s="28"/>
      <c r="E1" s="28"/>
      <c r="F1" s="28"/>
      <c r="G1" s="29"/>
      <c r="I1" s="2"/>
    </row>
    <row r="2" spans="1:19" s="6" customFormat="1" ht="45.75" customHeight="1" thickBot="1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M2" s="1"/>
      <c r="N2" s="1"/>
      <c r="O2" s="1"/>
      <c r="P2" s="1"/>
      <c r="Q2" s="1"/>
      <c r="R2" s="1"/>
      <c r="S2" s="1"/>
    </row>
    <row r="3" spans="1:19" s="6" customFormat="1" ht="30" customHeight="1" x14ac:dyDescent="0.3">
      <c r="A3" s="30"/>
      <c r="B3" s="31"/>
      <c r="C3" s="32"/>
      <c r="D3" s="32"/>
      <c r="E3" s="32"/>
      <c r="F3" s="32"/>
      <c r="G3" s="33"/>
      <c r="M3" s="1"/>
      <c r="N3" s="1"/>
      <c r="O3" s="1"/>
      <c r="P3" s="1"/>
      <c r="Q3" s="1"/>
      <c r="R3" s="1"/>
      <c r="S3" s="1"/>
    </row>
    <row r="4" spans="1:19" s="6" customFormat="1" ht="200.1" customHeight="1" x14ac:dyDescent="0.3">
      <c r="A4" s="34"/>
      <c r="B4" s="35"/>
      <c r="C4" s="35"/>
      <c r="D4" s="35"/>
      <c r="E4" s="35"/>
      <c r="F4" s="35"/>
      <c r="G4" s="36"/>
      <c r="M4" s="1"/>
      <c r="N4" s="1"/>
      <c r="O4" s="1"/>
      <c r="P4" s="1"/>
      <c r="Q4" s="1"/>
      <c r="R4" s="1"/>
      <c r="S4" s="1"/>
    </row>
    <row r="5" spans="1:19" s="6" customFormat="1" ht="30" customHeight="1" x14ac:dyDescent="0.3">
      <c r="A5" s="37"/>
      <c r="B5" s="38"/>
      <c r="C5" s="38"/>
      <c r="D5" s="39"/>
      <c r="E5" s="38"/>
      <c r="F5" s="38"/>
      <c r="G5" s="40"/>
      <c r="M5" s="1"/>
      <c r="N5" s="1"/>
      <c r="O5" s="1"/>
      <c r="P5" s="1"/>
      <c r="Q5" s="1"/>
      <c r="R5" s="1"/>
      <c r="S5" s="1"/>
    </row>
    <row r="6" spans="1:19" s="6" customFormat="1" ht="200.1" customHeight="1" x14ac:dyDescent="0.3">
      <c r="A6" s="34"/>
      <c r="B6" s="35"/>
      <c r="C6" s="35"/>
      <c r="D6" s="35"/>
      <c r="E6" s="35"/>
      <c r="F6" s="35"/>
      <c r="G6" s="36"/>
      <c r="M6" s="1"/>
      <c r="N6" s="1"/>
      <c r="O6" s="1"/>
      <c r="P6" s="1"/>
      <c r="Q6" s="1"/>
      <c r="R6" s="1"/>
      <c r="S6" s="1"/>
    </row>
    <row r="7" spans="1:19" s="6" customFormat="1" ht="30" customHeight="1" x14ac:dyDescent="0.3">
      <c r="A7" s="37"/>
      <c r="B7" s="38"/>
      <c r="C7" s="38"/>
      <c r="D7" s="38"/>
      <c r="E7" s="38"/>
      <c r="F7" s="38"/>
      <c r="G7" s="40"/>
    </row>
    <row r="8" spans="1:19" s="6" customFormat="1" ht="200.1" customHeight="1" x14ac:dyDescent="0.3">
      <c r="A8" s="34"/>
      <c r="B8" s="35"/>
      <c r="C8" s="35"/>
      <c r="D8" s="35"/>
      <c r="E8" s="35"/>
      <c r="F8" s="35"/>
      <c r="G8" s="36"/>
    </row>
    <row r="9" spans="1:19" s="6" customFormat="1" ht="30" customHeight="1" x14ac:dyDescent="0.3">
      <c r="A9" s="37"/>
      <c r="B9" s="38"/>
      <c r="C9" s="38"/>
      <c r="D9" s="38"/>
      <c r="E9" s="38"/>
      <c r="F9" s="38"/>
      <c r="G9" s="40"/>
    </row>
    <row r="10" spans="1:19" s="6" customFormat="1" ht="200.1" customHeight="1" x14ac:dyDescent="0.3">
      <c r="A10" s="34"/>
      <c r="B10" s="35"/>
      <c r="C10" s="35"/>
      <c r="D10" s="35"/>
      <c r="E10" s="35"/>
      <c r="F10" s="35"/>
      <c r="G10" s="36"/>
    </row>
    <row r="11" spans="1:19" s="6" customFormat="1" ht="30" customHeight="1" x14ac:dyDescent="0.3">
      <c r="A11" s="37"/>
      <c r="B11" s="38"/>
      <c r="C11" s="38"/>
      <c r="D11" s="38"/>
      <c r="E11" s="38"/>
      <c r="F11" s="38"/>
      <c r="G11" s="40"/>
    </row>
    <row r="12" spans="1:19" s="6" customFormat="1" ht="200.1" customHeight="1" thickBot="1" x14ac:dyDescent="0.35">
      <c r="A12" s="41"/>
      <c r="B12" s="42"/>
      <c r="C12" s="42"/>
      <c r="D12" s="42"/>
      <c r="E12" s="42"/>
      <c r="F12" s="42"/>
      <c r="G12" s="43"/>
    </row>
    <row r="13" spans="1:19" ht="99.95" customHeight="1" thickBot="1" x14ac:dyDescent="0.35">
      <c r="A13" s="9" t="s">
        <v>29</v>
      </c>
      <c r="B13" s="7"/>
      <c r="C13" s="7"/>
      <c r="D13" s="7"/>
      <c r="E13" s="7"/>
      <c r="F13" s="7"/>
      <c r="G13" s="8"/>
    </row>
    <row r="14" spans="1:19" ht="78.75" customHeight="1" x14ac:dyDescent="0.3">
      <c r="A14" s="10" t="s">
        <v>7</v>
      </c>
      <c r="B14" s="11" t="s">
        <v>8</v>
      </c>
      <c r="C14" s="11" t="s">
        <v>9</v>
      </c>
      <c r="D14" s="11" t="s">
        <v>10</v>
      </c>
      <c r="E14" s="11" t="s">
        <v>11</v>
      </c>
      <c r="F14" s="11" t="s">
        <v>12</v>
      </c>
      <c r="G14" s="12" t="s">
        <v>13</v>
      </c>
    </row>
    <row r="15" spans="1:19" ht="42.75" customHeight="1" x14ac:dyDescent="0.3">
      <c r="A15" s="13" t="s">
        <v>14</v>
      </c>
      <c r="B15" s="14" t="str">
        <f>_xlfn.XLOOKUP(A15, [1]직원명부!A:A, [1]직원명부!C:C, "")</f>
        <v>골프장 주간</v>
      </c>
      <c r="C15" s="15"/>
      <c r="D15" s="15"/>
      <c r="E15" s="15"/>
      <c r="F15" s="15"/>
      <c r="G15" s="16"/>
    </row>
    <row r="16" spans="1:19" ht="42.75" customHeight="1" x14ac:dyDescent="0.3">
      <c r="A16" s="13" t="s">
        <v>15</v>
      </c>
      <c r="B16" s="14" t="str">
        <f>_xlfn.XLOOKUP(A16, [1]직원명부!A:A, [1]직원명부!C:C, "")</f>
        <v>골프장 주간</v>
      </c>
      <c r="C16" s="15"/>
      <c r="D16" s="15"/>
      <c r="E16" s="15"/>
      <c r="F16" s="15"/>
      <c r="G16" s="16"/>
    </row>
    <row r="17" spans="1:7" ht="42.75" customHeight="1" x14ac:dyDescent="0.3">
      <c r="A17" s="13" t="s">
        <v>16</v>
      </c>
      <c r="B17" s="14" t="str">
        <f>_xlfn.XLOOKUP(A17, [1]직원명부!A:A, [1]직원명부!C:C, "")</f>
        <v>골프장 주간</v>
      </c>
      <c r="C17" s="15"/>
      <c r="D17" s="15"/>
      <c r="E17" s="15"/>
      <c r="F17" s="15"/>
      <c r="G17" s="16"/>
    </row>
    <row r="18" spans="1:7" ht="42.75" customHeight="1" x14ac:dyDescent="0.3">
      <c r="A18" s="13" t="s">
        <v>17</v>
      </c>
      <c r="B18" s="14" t="str">
        <f>_xlfn.XLOOKUP(A18, [1]직원명부!A:A, [1]직원명부!C:C, "")</f>
        <v>골프장 야간</v>
      </c>
      <c r="C18" s="15"/>
      <c r="D18" s="15"/>
      <c r="E18" s="15"/>
      <c r="F18" s="15"/>
      <c r="G18" s="16"/>
    </row>
    <row r="19" spans="1:7" ht="42.75" customHeight="1" x14ac:dyDescent="0.3">
      <c r="A19" s="13" t="s">
        <v>18</v>
      </c>
      <c r="B19" s="14" t="str">
        <f>_xlfn.XLOOKUP(A19, [1]직원명부!A:A, [1]직원명부!C:C, "")</f>
        <v>골프장 야간</v>
      </c>
      <c r="C19" s="15"/>
      <c r="D19" s="15"/>
      <c r="E19" s="15"/>
      <c r="F19" s="15"/>
      <c r="G19" s="16"/>
    </row>
    <row r="20" spans="1:7" ht="42.75" customHeight="1" x14ac:dyDescent="0.3">
      <c r="A20" s="13" t="s">
        <v>19</v>
      </c>
      <c r="B20" s="14" t="str">
        <f>_xlfn.XLOOKUP(A20, [1]직원명부!A:A, [1]직원명부!C:C, "")</f>
        <v>스키장 주간</v>
      </c>
      <c r="C20" s="15"/>
      <c r="D20" s="15"/>
      <c r="E20" s="15"/>
      <c r="F20" s="15"/>
      <c r="G20" s="16"/>
    </row>
    <row r="21" spans="1:7" ht="42.75" customHeight="1" x14ac:dyDescent="0.3">
      <c r="A21" s="13" t="s">
        <v>20</v>
      </c>
      <c r="B21" s="14" t="str">
        <f>_xlfn.XLOOKUP(A21, [1]직원명부!A:A, [1]직원명부!C:C, "")</f>
        <v>스키장 주간</v>
      </c>
      <c r="C21" s="15"/>
      <c r="D21" s="15"/>
      <c r="E21" s="15"/>
      <c r="F21" s="15"/>
      <c r="G21" s="16"/>
    </row>
    <row r="22" spans="1:7" ht="42.75" customHeight="1" x14ac:dyDescent="0.3">
      <c r="A22" s="13" t="s">
        <v>21</v>
      </c>
      <c r="B22" s="14" t="str">
        <f>_xlfn.XLOOKUP(A22, [1]직원명부!A:A, [1]직원명부!C:C, "")</f>
        <v>스키장 야간</v>
      </c>
      <c r="C22" s="15"/>
      <c r="D22" s="15"/>
      <c r="E22" s="15"/>
      <c r="F22" s="15"/>
      <c r="G22" s="16"/>
    </row>
    <row r="23" spans="1:7" ht="42.75" customHeight="1" x14ac:dyDescent="0.3">
      <c r="A23" s="13" t="s">
        <v>22</v>
      </c>
      <c r="B23" s="14" t="str">
        <f>_xlfn.XLOOKUP(A23, [1]직원명부!A:A, [1]직원명부!C:C, "")</f>
        <v>현관</v>
      </c>
      <c r="C23" s="15"/>
      <c r="D23" s="15"/>
      <c r="E23" s="15"/>
      <c r="F23" s="15"/>
      <c r="G23" s="16"/>
    </row>
    <row r="24" spans="1:7" ht="42.75" customHeight="1" x14ac:dyDescent="0.3">
      <c r="A24" s="13" t="s">
        <v>23</v>
      </c>
      <c r="B24" s="14" t="str">
        <f>_xlfn.XLOOKUP(A24, [1]직원명부!A:A, [1]직원명부!C:C, "")</f>
        <v>현관</v>
      </c>
      <c r="C24" s="15"/>
      <c r="D24" s="15"/>
      <c r="E24" s="15"/>
      <c r="F24" s="15"/>
      <c r="G24" s="16"/>
    </row>
    <row r="25" spans="1:7" ht="42.75" customHeight="1" x14ac:dyDescent="0.3">
      <c r="A25" s="13" t="s">
        <v>24</v>
      </c>
      <c r="B25" s="14" t="str">
        <f>_xlfn.XLOOKUP(A25, [1]직원명부!A:A, [1]직원명부!C:C, "")</f>
        <v>현관</v>
      </c>
      <c r="C25" s="15"/>
      <c r="D25" s="15"/>
      <c r="E25" s="15"/>
      <c r="F25" s="15"/>
      <c r="G25" s="16"/>
    </row>
    <row r="26" spans="1:7" ht="42.75" customHeight="1" x14ac:dyDescent="0.3">
      <c r="A26" s="17" t="s">
        <v>25</v>
      </c>
      <c r="B26" s="18" t="str">
        <f>_xlfn.XLOOKUP(A26, [1]직원명부!A:A, [1]직원명부!C:C, "")</f>
        <v>현관</v>
      </c>
      <c r="C26" s="15"/>
      <c r="D26" s="15"/>
      <c r="E26" s="15"/>
      <c r="F26" s="15"/>
      <c r="G26" s="16"/>
    </row>
    <row r="28" spans="1:7" ht="93.75" customHeight="1" thickBot="1" x14ac:dyDescent="0.35">
      <c r="A28" s="19" t="s">
        <v>26</v>
      </c>
      <c r="B28" s="20">
        <f>COUNTA(표1[성  명])</f>
        <v>12</v>
      </c>
      <c r="C28" s="21" cm="1">
        <f t="array" ref="C28">SUM(_xlfn.MAP(C15:C26, _xlfn.LAMBDA(_xlpm.x, IFERROR(--MID(_xlpm.x, SEARCH("(", _xlpm.x)+1, SEARCH("일", _xlpm.x)-SEARCH("(", _xlpm.x)-1), 0))))</f>
        <v>0</v>
      </c>
      <c r="D28" s="21" cm="1">
        <f t="array" ref="D28">SUM(_xlfn.MAP(D15:D26, _xlfn.LAMBDA(_xlpm.x, IFERROR(--MID(_xlpm.x, SEARCH("(", _xlpm.x)+1, SEARCH("일", _xlpm.x)-SEARCH("(", _xlpm.x)-1), 0))))</f>
        <v>0</v>
      </c>
      <c r="E28" s="21" cm="1">
        <f t="array" ref="E28">SUM(_xlfn.MAP(E15:E26, _xlfn.LAMBDA(_xlpm.x, IFERROR(--MID(_xlpm.x, SEARCH("(", _xlpm.x)+1, SEARCH("일", _xlpm.x)-SEARCH("(", _xlpm.x)-1), 0))))</f>
        <v>0</v>
      </c>
      <c r="F28" s="22" t="s">
        <v>27</v>
      </c>
      <c r="G28" s="23">
        <f>SUM(표1[계])</f>
        <v>0</v>
      </c>
    </row>
    <row r="29" spans="1:7" ht="42.75" customHeight="1" thickTop="1" x14ac:dyDescent="0.3"/>
  </sheetData>
  <mergeCells count="2">
    <mergeCell ref="A1:G1"/>
    <mergeCell ref="A13:G13"/>
  </mergeCells>
  <phoneticPr fontId="3" type="noConversion"/>
  <conditionalFormatting sqref="A15:A26">
    <cfRule type="expression" dxfId="3" priority="3">
      <formula>$E15="X"</formula>
    </cfRule>
  </conditionalFormatting>
  <conditionalFormatting sqref="A3:G12">
    <cfRule type="expression" dxfId="2" priority="4">
      <formula>MONTH(INDIRECT(ADDRESS(IF(EVEN(ROW())=ROW(), ROW(), ROW()-1), COLUMN()))) &lt;&gt; #REF!</formula>
    </cfRule>
    <cfRule type="expression" dxfId="1" priority="5">
      <formula>MONTH(INDIRECT(ADDRESS(IF(EVEN(ROW())=ROW(), ROW(), ROW()-1), COLUMN()))) = #REF!</formula>
    </cfRule>
  </conditionalFormatting>
  <conditionalFormatting sqref="A4:G4 A6:G6 A8:G8 A10:G10 A12:G12">
    <cfRule type="expression" dxfId="0" priority="1">
      <formula>AND(#REF!&lt;&gt;"", ISNUMBER(SEARCH(#REF!, A4)))</formula>
    </cfRule>
  </conditionalFormatting>
  <conditionalFormatting sqref="G15:G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{488A1217-3357-4F29-9BBA-8721DE32E84E}</x14:id>
        </ext>
      </extLst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6" fitToWidth="0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8A1217-3357-4F29-9BBA-8721DE32E84E}">
            <x14:dataBar minLength="0" maxLength="100" border="1" negativeBarBorderColorSameAsPositive="0">
              <x14:cfvo type="autoMin"/>
              <x14:cfvo type="autoMax"/>
              <x14:borderColor rgb="FFCFEDD9"/>
              <x14:negativeFillColor rgb="FFFF0000"/>
              <x14:negativeBorderColor rgb="FFFF0000"/>
              <x14:axisColor rgb="FF000000"/>
            </x14:dataBar>
          </x14:cfRule>
          <xm:sqref>G15:G26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휴무 캘린더</vt:lpstr>
      <vt:lpstr>'휴무 캘린더'!Print_Area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damtajomyo damtajomyo</dc:creator>
  <cp:lastModifiedBy>damtajomyo damtajomyo</cp:lastModifiedBy>
  <dcterms:created xsi:type="dcterms:W3CDTF">2015-06-05T18:19:34Z</dcterms:created>
  <dcterms:modified xsi:type="dcterms:W3CDTF">2026-10-20T04:45:21Z</dcterms:modified>
</cp:coreProperties>
</file>