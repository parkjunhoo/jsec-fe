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0e29534d76321d/Desktop/project/"/>
    </mc:Choice>
  </mc:AlternateContent>
  <xr:revisionPtr revIDLastSave="25" documentId="8_{54AACDBA-D3EB-4ED6-B587-1A7297ADEA22}" xr6:coauthVersionLast="47" xr6:coauthVersionMax="47" xr10:uidLastSave="{50E8A74A-6D07-4C5F-A8AD-EF6DC5EEB001}"/>
  <bookViews>
    <workbookView xWindow="-120" yWindow="-120" windowWidth="29040" windowHeight="15720" xr2:uid="{27C69C99-ABE1-4C31-976A-AC2C61E38B6B}"/>
  </bookViews>
  <sheets>
    <sheet name="직원근무표" sheetId="2" r:id="rId1"/>
  </sheets>
  <externalReferences>
    <externalReference r:id="rId2"/>
    <externalReference r:id="rId3"/>
  </externalReferences>
  <definedNames>
    <definedName name="강광후">[1]근무표!$L$2</definedName>
    <definedName name="개인사유키">#REF!</definedName>
    <definedName name="달력연도">#REF!</definedName>
    <definedName name="병가키">#REF!</definedName>
    <definedName name="사용자지정키1">#REF!</definedName>
    <definedName name="사용자지정키2">#REF!</definedName>
    <definedName name="열제목13">[2]!직원이름[[#Headers],[직원 이름]]</definedName>
    <definedName name="제목1">[2]!_1월[[#Headers],[직원 이름]]</definedName>
    <definedName name="제목10">#REF!</definedName>
    <definedName name="제목11">#REF!</definedName>
    <definedName name="제목12">#REF!</definedName>
    <definedName name="제목2">#REF!</definedName>
    <definedName name="제목3">#REF!</definedName>
    <definedName name="제목4">#REF!</definedName>
    <definedName name="제목5">#REF!</definedName>
    <definedName name="제목6">#REF!</definedName>
    <definedName name="제목7">#REF!</definedName>
    <definedName name="제목8">#REF!</definedName>
    <definedName name="제목9">#REF!</definedName>
    <definedName name="휴가키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2" l="1"/>
  <c r="C4" i="2" s="1"/>
  <c r="D5" i="2" l="1"/>
  <c r="D4" i="2" l="1"/>
  <c r="E5" i="2"/>
  <c r="E4" i="2" l="1"/>
  <c r="F5" i="2"/>
  <c r="F4" i="2" l="1"/>
  <c r="G5" i="2"/>
  <c r="G4" i="2" l="1"/>
  <c r="H5" i="2"/>
  <c r="H4" i="2" l="1"/>
  <c r="I5" i="2"/>
  <c r="I4" i="2" l="1"/>
  <c r="J5" i="2"/>
  <c r="K5" i="2" l="1"/>
  <c r="J4" i="2"/>
  <c r="K4" i="2" l="1"/>
  <c r="L5" i="2"/>
  <c r="M5" i="2" l="1"/>
  <c r="L4" i="2"/>
  <c r="M4" i="2" l="1"/>
  <c r="N5" i="2"/>
  <c r="N4" i="2" l="1"/>
  <c r="O5" i="2"/>
  <c r="O4" i="2" l="1"/>
  <c r="P5" i="2"/>
  <c r="Q5" i="2" l="1"/>
  <c r="P4" i="2"/>
  <c r="R5" i="2" l="1"/>
  <c r="Q4" i="2"/>
  <c r="S5" i="2" l="1"/>
  <c r="R4" i="2"/>
  <c r="S4" i="2" l="1"/>
  <c r="T5" i="2"/>
  <c r="U5" i="2" l="1"/>
  <c r="T4" i="2"/>
  <c r="V5" i="2" l="1"/>
  <c r="U4" i="2"/>
  <c r="W5" i="2" l="1"/>
  <c r="V4" i="2"/>
  <c r="X5" i="2" l="1"/>
  <c r="W4" i="2"/>
  <c r="Y5" i="2" l="1"/>
  <c r="X4" i="2"/>
  <c r="Z5" i="2" l="1"/>
  <c r="Y4" i="2"/>
  <c r="AA5" i="2" l="1"/>
  <c r="Z4" i="2"/>
  <c r="AB5" i="2" l="1"/>
  <c r="AA4" i="2"/>
  <c r="AC5" i="2" l="1"/>
  <c r="AB4" i="2"/>
  <c r="AD5" i="2" l="1"/>
  <c r="AC4" i="2"/>
  <c r="AE5" i="2" l="1"/>
  <c r="AD4" i="2"/>
  <c r="AF5" i="2" l="1"/>
  <c r="AE4" i="2"/>
  <c r="AG5" i="2" l="1"/>
  <c r="AF4" i="2"/>
  <c r="AH6" i="2" l="1" a="1"/>
  <c r="AH7" i="2" a="1"/>
  <c r="AH9" i="2" a="1"/>
  <c r="AH10" i="2" a="1"/>
  <c r="AH11" i="2" a="1"/>
  <c r="AH13" i="2" a="1"/>
  <c r="AH15" i="2" a="1"/>
  <c r="AH16" i="2" a="1"/>
  <c r="AH18" i="2" a="1"/>
  <c r="AH19" i="2" a="1"/>
  <c r="AH20" i="2" a="1"/>
  <c r="AH21" i="2" a="1"/>
  <c r="AG4" i="2"/>
  <c r="AH2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<sst xmlns="http://schemas.openxmlformats.org/spreadsheetml/2006/main" count="29" uniqueCount="29">
  <si>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김민기</t>
    <phoneticPr fontId="7" type="noConversion"/>
  </si>
  <si>
    <t>현관4</t>
    <phoneticPr fontId="7" type="noConversion"/>
  </si>
  <si>
    <t>박정영</t>
    <phoneticPr fontId="7" type="noConversion"/>
  </si>
  <si>
    <t>현관3</t>
    <phoneticPr fontId="7" type="noConversion"/>
  </si>
  <si>
    <t>박준영</t>
    <phoneticPr fontId="7" type="noConversion"/>
  </si>
  <si>
    <t>현관2</t>
    <phoneticPr fontId="3" type="noConversion"/>
  </si>
  <si>
    <t>손용진</t>
    <phoneticPr fontId="3" type="noConversion"/>
  </si>
  <si>
    <t>현관1</t>
    <phoneticPr fontId="3" type="noConversion"/>
  </si>
  <si>
    <t>조성재</t>
    <phoneticPr fontId="7" type="noConversion"/>
  </si>
  <si>
    <t>스키장주간2</t>
    <phoneticPr fontId="7" type="noConversion"/>
  </si>
  <si>
    <t>강광후</t>
    <phoneticPr fontId="3" type="noConversion"/>
  </si>
  <si>
    <t>스키장주간1</t>
    <phoneticPr fontId="7" type="noConversion"/>
  </si>
  <si>
    <t>지은석</t>
    <phoneticPr fontId="7" type="noConversion"/>
  </si>
  <si>
    <t>소장</t>
    <phoneticPr fontId="7" type="noConversion"/>
  </si>
  <si>
    <t>엄효섭</t>
    <phoneticPr fontId="7" type="noConversion"/>
  </si>
  <si>
    <t>스키장야간1</t>
    <phoneticPr fontId="7" type="noConversion"/>
  </si>
  <si>
    <t>박준후</t>
    <phoneticPr fontId="7" type="noConversion"/>
  </si>
  <si>
    <t>골프장야간2</t>
    <phoneticPr fontId="7" type="noConversion"/>
  </si>
  <si>
    <t>김동석</t>
    <phoneticPr fontId="7" type="noConversion"/>
  </si>
  <si>
    <t>골프장야간1</t>
    <phoneticPr fontId="7" type="noConversion"/>
  </si>
  <si>
    <t>황치웅</t>
    <phoneticPr fontId="7" type="noConversion"/>
  </si>
  <si>
    <t>골프장주간2</t>
    <phoneticPr fontId="7" type="noConversion"/>
  </si>
  <si>
    <t>오경수</t>
    <phoneticPr fontId="7" type="noConversion"/>
  </si>
  <si>
    <t>골프장주간1</t>
    <phoneticPr fontId="7" type="noConversion"/>
  </si>
  <si>
    <t>총 일수</t>
  </si>
  <si>
    <t>직원 이름</t>
  </si>
  <si>
    <t>직원 근무표</t>
  </si>
  <si>
    <t>연도 입력:</t>
  </si>
  <si>
    <t>직원근무표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</si>
</sst>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Malgun Gothic"/>
      <family val="3"/>
      <charset val="129"/>
    </font>
    <font>
      <b/>
      <sz val="11"/>
      <color rgb="FF000000"/>
      <name val="맑은 고딕"/>
      <family val="2"/>
      <charset val="129"/>
      <scheme val="minor"/>
    </font>
    <font>
      <b/>
      <sz val="9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1"/>
      <name val="Malgun Gothic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Malgun Gothic"/>
      <family val="3"/>
      <charset val="129"/>
    </font>
    <font>
      <b/>
      <sz val="9"/>
      <color rgb="FF000000"/>
      <name val="맑은 고딕"/>
      <family val="3"/>
      <charset val="129"/>
    </font>
    <font>
      <b/>
      <sz val="18"/>
      <color rgb="FF7C271A"/>
      <name val="Malgun Gothic"/>
      <family val="3"/>
      <charset val="129"/>
    </font>
    <font>
      <b/>
      <sz val="14"/>
      <color rgb="FF7C271A"/>
      <name val="Malgun Gothic"/>
      <family val="3"/>
      <charset val="129"/>
    </font>
    <font>
      <sz val="11"/>
      <color rgb="FF531A12"/>
      <name val="Malgun Gothic"/>
      <family val="3"/>
      <charset val="129"/>
    </font>
    <font>
      <b/>
      <sz val="26"/>
      <color rgb="FF4B180E"/>
      <name val="Malgun Gothic"/>
      <family val="3"/>
      <charset val="129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2E8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D9D9D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2" fillId="0" borderId="0">
      <alignment horizontal="center" vertical="center"/>
    </xf>
    <xf numFmtId="0" fontId="1" fillId="0" borderId="0">
      <alignment vertical="center"/>
    </xf>
    <xf numFmtId="0" fontId="2" fillId="0" borderId="0">
      <alignment horizontal="left" vertical="center" wrapText="1" indent="2"/>
    </xf>
    <xf numFmtId="0" fontId="1" fillId="2" borderId="0" applyNumberFormat="0" applyBorder="0" applyAlignment="0" applyProtection="0">
      <alignment vertical="center"/>
    </xf>
    <xf numFmtId="0" fontId="12" fillId="6" borderId="0">
      <alignment horizontal="center" vertical="center"/>
    </xf>
    <xf numFmtId="0" fontId="14" fillId="0" borderId="0">
      <alignment horizontal="center"/>
    </xf>
    <xf numFmtId="0" fontId="15" fillId="0" borderId="0">
      <alignment vertical="top"/>
    </xf>
    <xf numFmtId="0" fontId="16" fillId="0" borderId="0"/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4" fillId="3" borderId="1" xfId="2" applyNumberFormat="1" applyFont="1" applyFill="1" applyBorder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6" fillId="4" borderId="2" xfId="4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/>
    </xf>
    <xf numFmtId="0" fontId="4" fillId="5" borderId="3" xfId="2" applyNumberFormat="1" applyFont="1" applyFill="1" applyBorder="1">
      <alignment horizontal="center" vertical="center"/>
    </xf>
    <xf numFmtId="0" fontId="4" fillId="5" borderId="4" xfId="3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horizontal="center" vertical="center"/>
    </xf>
    <xf numFmtId="0" fontId="4" fillId="4" borderId="3" xfId="2" applyNumberFormat="1" applyFont="1" applyFill="1" applyBorder="1">
      <alignment horizontal="center" vertical="center"/>
    </xf>
    <xf numFmtId="0" fontId="4" fillId="4" borderId="4" xfId="3" applyFont="1" applyFill="1" applyBorder="1" applyAlignment="1">
      <alignment horizontal="center" vertical="center"/>
    </xf>
    <xf numFmtId="0" fontId="5" fillId="4" borderId="4" xfId="3" applyFont="1" applyFill="1" applyBorder="1" applyAlignment="1">
      <alignment horizontal="center" vertical="center"/>
    </xf>
    <xf numFmtId="0" fontId="6" fillId="4" borderId="4" xfId="4" applyFont="1" applyFill="1" applyBorder="1" applyAlignment="1">
      <alignment horizontal="center" vertical="center" wrapText="1"/>
    </xf>
    <xf numFmtId="0" fontId="6" fillId="5" borderId="5" xfId="4" applyFont="1" applyFill="1" applyBorder="1" applyAlignment="1">
      <alignment horizontal="center" vertical="center" wrapText="1"/>
    </xf>
    <xf numFmtId="176" fontId="4" fillId="4" borderId="3" xfId="2" applyFont="1" applyFill="1" applyBorder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9" fillId="6" borderId="6" xfId="5" applyFont="1" applyFill="1" applyBorder="1" applyAlignment="1">
      <alignment horizontal="center" vertical="center"/>
    </xf>
    <xf numFmtId="0" fontId="10" fillId="7" borderId="4" xfId="3" applyFont="1" applyFill="1" applyBorder="1" applyAlignment="1">
      <alignment horizontal="center" vertical="center"/>
    </xf>
    <xf numFmtId="0" fontId="11" fillId="2" borderId="4" xfId="5" applyFont="1" applyBorder="1" applyAlignment="1">
      <alignment horizontal="center" vertical="center"/>
    </xf>
    <xf numFmtId="0" fontId="1" fillId="0" borderId="1" xfId="3" applyBorder="1" applyAlignment="1">
      <alignment horizontal="left" vertical="center"/>
    </xf>
    <xf numFmtId="0" fontId="12" fillId="6" borderId="0" xfId="6">
      <alignment horizontal="center" vertical="center"/>
    </xf>
    <xf numFmtId="0" fontId="10" fillId="7" borderId="1" xfId="3" applyFont="1" applyFill="1" applyBorder="1" applyAlignment="1">
      <alignment horizontal="center" vertical="center"/>
    </xf>
    <xf numFmtId="0" fontId="12" fillId="6" borderId="1" xfId="6" applyBorder="1">
      <alignment horizontal="center" vertical="center"/>
    </xf>
    <xf numFmtId="0" fontId="13" fillId="6" borderId="0" xfId="6" applyFont="1">
      <alignment horizontal="center" vertical="center"/>
    </xf>
    <xf numFmtId="0" fontId="1" fillId="0" borderId="0" xfId="3" applyAlignment="1">
      <alignment horizontal="left" vertical="center"/>
    </xf>
    <xf numFmtId="0" fontId="14" fillId="0" borderId="0" xfId="7">
      <alignment horizontal="center"/>
    </xf>
    <xf numFmtId="0" fontId="15" fillId="0" borderId="0" xfId="8">
      <alignment vertical="top"/>
    </xf>
    <xf numFmtId="0" fontId="12" fillId="6" borderId="0" xfId="6">
      <alignment horizontal="center" vertical="center"/>
    </xf>
  </cellXfs>
  <cellStyles count="10">
    <cellStyle name="20% - 강조색3 2" xfId="5" xr:uid="{986D8C0B-1E25-48FE-8458-678EAC31BC2D}"/>
    <cellStyle name="레이블 2" xfId="7" xr:uid="{A48F1FFF-F5EE-4B4B-A5C8-0B39339D71A8}"/>
    <cellStyle name="요약 2" xfId="2" xr:uid="{27F5CEB7-2279-4A40-BF6B-223AEFE46AFC}"/>
    <cellStyle name="제목 2 2" xfId="6" xr:uid="{E1B47133-6C3F-4ADC-9FC8-BB831F1E98F9}"/>
    <cellStyle name="제목 5" xfId="8" xr:uid="{35F9E643-6200-4094-9AD1-992CADC7A236}"/>
    <cellStyle name="직원 2" xfId="4" xr:uid="{85F3BC84-825F-4A10-9F1D-2065C052BD60}"/>
    <cellStyle name="표준" xfId="0" builtinId="0"/>
    <cellStyle name="표준 2" xfId="1" xr:uid="{5CC5C674-F6A6-40BC-8E18-1ADF7ACEFB71}"/>
    <cellStyle name="표준 3" xfId="9" xr:uid="{2DD97B40-6FBE-49F8-8426-CDA759B41B5E}"/>
    <cellStyle name="표준 6" xfId="3" xr:uid="{6954F65E-9A8D-4560-B82A-BF7524B20D1B}"/>
  </cellStyles>
  <dxfs count="13">
    <dxf>
      <font>
        <b/>
        <i val="0"/>
        <strike val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00B050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strike val="0"/>
        <color rgb="FFFF0000"/>
      </font>
    </dxf>
    <dxf>
      <font>
        <strike val="0"/>
        <color rgb="FF00B0F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1" defaultTableStyle="TableStyleMedium2" defaultPivotStyle="PivotStyleLight16">
    <tableStyle name="표 스타일 1" pivot="0" count="7" xr9:uid="{D40DEA67-4A18-4959-9C42-4B81855E545E}">
      <tableStyleElement type="wholeTable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\Desktop\&#48376;&#49324;&#51649;&#50896;%20&#44540;&#47924;&#54364;&#51228;&#52636;&#50857;.xlsx" TargetMode="External"/><Relationship Id="rId1" Type="http://schemas.openxmlformats.org/officeDocument/2006/relationships/externalLinkPath" Target="file:///C:\Users\e\Desktop\&#48376;&#49324;&#51649;&#50896;%20&#44540;&#47924;&#54364;&#51228;&#52636;&#50857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8149;&#51456;&#54980;\Desktop\&#51648;&#49328;\&#44592;&#53440;&#47928;&#49436;\&#55092;&#47924;&#51068;&#51221;&#54364;.xlsx" TargetMode="External"/><Relationship Id="rId1" Type="http://schemas.openxmlformats.org/officeDocument/2006/relationships/externalLinkPath" Target="file:///C:\Users\&#48149;&#51456;&#54980;\Desktop\&#51648;&#49328;\&#44592;&#53440;&#47928;&#49436;\&#55092;&#47924;&#51068;&#51221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근무표"/>
      <sheetName val="11월"/>
      <sheetName val="12월"/>
      <sheetName val="1월"/>
      <sheetName val="2월"/>
      <sheetName val="3월"/>
      <sheetName val="직원 이름"/>
    </sheetNames>
    <sheetDataSet>
      <sheetData sheetId="0" refreshError="1">
        <row r="2">
          <cell r="C2" t="str">
            <v>휴</v>
          </cell>
          <cell r="L2" t="str">
            <v>근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근무표"/>
      <sheetName val="24-11"/>
      <sheetName val="24-12"/>
      <sheetName val="25-01"/>
      <sheetName val="25-02"/>
      <sheetName val="25-03"/>
      <sheetName val="25-04"/>
      <sheetName val="25-05"/>
      <sheetName val="25-06"/>
      <sheetName val="25-07"/>
      <sheetName val="25-08"/>
      <sheetName val="25-09"/>
      <sheetName val="25-10"/>
      <sheetName val="25-11"/>
      <sheetName val="25-12"/>
      <sheetName val="26-01"/>
      <sheetName val="26-02"/>
      <sheetName val="26-03"/>
      <sheetName val="26-04"/>
      <sheetName val="26-05"/>
      <sheetName val="26-06"/>
      <sheetName val="26-07"/>
      <sheetName val="26-08"/>
      <sheetName val="26-09"/>
      <sheetName val="직원 이름"/>
      <sheetName val="휴무일정표"/>
    </sheetNames>
    <sheetDataSet>
      <sheetData sheetId="0">
        <row r="2">
          <cell r="C2" t="str">
            <v>휴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8239-9B02-4505-9029-146BCBFD46F3}">
  <sheetPr>
    <tabColor theme="5" tint="-0.499984740745262"/>
  </sheetPr>
  <dimension ref="A2:AH22"/>
  <sheetViews>
    <sheetView tabSelected="1" zoomScaleNormal="100" workbookViewId="0">
      <selection activeCell="B4" sqref="B4"/>
    </sheetView>
  </sheetViews>
  <sheetFormatPr defaultRowHeight="16.5"/>
  <cols>
    <col min="1" max="1" width="9" style="1"/>
    <col min="2" max="2" width="8.125" style="1" customWidth="1"/>
    <col min="3" max="33" width="4.625" style="1" customWidth="1"/>
    <col min="34" max="34" width="11.5" style="1" customWidth="1"/>
    <col min="35" max="16384" width="9" style="1"/>
  </cols>
  <sheetData>
    <row r="2" spans="1:34" ht="39">
      <c r="A2" s="26"/>
      <c r="B2" s="28" t="s">
        <v>28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7" t="s">
        <v>27</v>
      </c>
    </row>
    <row r="3" spans="1:34" ht="26.25">
      <c r="A3" s="26"/>
      <c r="B3" s="22">
        <v>10</v>
      </c>
      <c r="C3" s="29" t="s">
        <v>26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5">
        <v>2026</v>
      </c>
    </row>
    <row r="4" spans="1:34" ht="26.25">
      <c r="A4" s="21"/>
      <c r="B4" s="24"/>
      <c r="C4" s="23" t="str">
        <f t="shared" ref="C4:I4" si="0">IF(C5="", "", TEXT(DATE($AH$3, $B$3, C5), "aaa"))</f>
        <v>목</v>
      </c>
      <c r="D4" s="23" t="str">
        <f t="shared" si="0"/>
        <v>금</v>
      </c>
      <c r="E4" s="23" t="str">
        <f t="shared" si="0"/>
        <v>토</v>
      </c>
      <c r="F4" s="23" t="str">
        <f t="shared" si="0"/>
        <v>일</v>
      </c>
      <c r="G4" s="23" t="str">
        <f t="shared" si="0"/>
        <v>월</v>
      </c>
      <c r="H4" s="23" t="str">
        <f t="shared" si="0"/>
        <v>화</v>
      </c>
      <c r="I4" s="23" t="str">
        <f t="shared" si="0"/>
        <v>수</v>
      </c>
      <c r="J4" s="23" t="str">
        <f t="shared" ref="J4:AG4" si="1">IF(J5="", "", TEXT(DATE($AH$3, $B$3, J5), "aaa"))</f>
        <v>목</v>
      </c>
      <c r="K4" s="23" t="str">
        <f t="shared" si="1"/>
        <v>금</v>
      </c>
      <c r="L4" s="23" t="str">
        <f t="shared" si="1"/>
        <v>토</v>
      </c>
      <c r="M4" s="23" t="str">
        <f t="shared" si="1"/>
        <v>일</v>
      </c>
      <c r="N4" s="23" t="str">
        <f t="shared" si="1"/>
        <v>월</v>
      </c>
      <c r="O4" s="23" t="str">
        <f t="shared" si="1"/>
        <v>화</v>
      </c>
      <c r="P4" s="23" t="str">
        <f t="shared" si="1"/>
        <v>수</v>
      </c>
      <c r="Q4" s="23" t="str">
        <f t="shared" si="1"/>
        <v>목</v>
      </c>
      <c r="R4" s="23" t="str">
        <f t="shared" si="1"/>
        <v>금</v>
      </c>
      <c r="S4" s="23" t="str">
        <f t="shared" si="1"/>
        <v>토</v>
      </c>
      <c r="T4" s="23" t="str">
        <f t="shared" si="1"/>
        <v>일</v>
      </c>
      <c r="U4" s="23" t="str">
        <f t="shared" si="1"/>
        <v>월</v>
      </c>
      <c r="V4" s="23" t="str">
        <f t="shared" si="1"/>
        <v>화</v>
      </c>
      <c r="W4" s="23" t="str">
        <f t="shared" si="1"/>
        <v>수</v>
      </c>
      <c r="X4" s="23" t="str">
        <f t="shared" si="1"/>
        <v>목</v>
      </c>
      <c r="Y4" s="23" t="str">
        <f t="shared" si="1"/>
        <v>금</v>
      </c>
      <c r="Z4" s="23" t="str">
        <f t="shared" si="1"/>
        <v>토</v>
      </c>
      <c r="AA4" s="23" t="str">
        <f t="shared" si="1"/>
        <v>일</v>
      </c>
      <c r="AB4" s="23" t="str">
        <f t="shared" si="1"/>
        <v>월</v>
      </c>
      <c r="AC4" s="23" t="str">
        <f t="shared" si="1"/>
        <v>화</v>
      </c>
      <c r="AD4" s="23" t="str">
        <f t="shared" si="1"/>
        <v>수</v>
      </c>
      <c r="AE4" s="23" t="str">
        <f t="shared" si="1"/>
        <v>목</v>
      </c>
      <c r="AF4" s="23" t="str">
        <f t="shared" si="1"/>
        <v>금</v>
      </c>
      <c r="AG4" s="23" t="str">
        <f t="shared" si="1"/>
        <v>토</v>
      </c>
      <c r="AH4" s="22"/>
    </row>
    <row r="5" spans="1:34">
      <c r="A5" s="21"/>
      <c r="B5" s="20" t="s">
        <v>25</v>
      </c>
      <c r="C5" s="19">
        <f>IF(DATE($AH$3, $B$3, 1)="", "", 1)</f>
        <v>1</v>
      </c>
      <c r="D5" s="19">
        <f t="shared" ref="D5:AG5" si="2">IF(C5="", "", IF(C5 + 1 &lt;= DAY(EOMONTH(DATE($AH$3, $B$3, 1), 0)), C5 + 1, ""))</f>
        <v>2</v>
      </c>
      <c r="E5" s="19">
        <f t="shared" si="2"/>
        <v>3</v>
      </c>
      <c r="F5" s="19">
        <f t="shared" si="2"/>
        <v>4</v>
      </c>
      <c r="G5" s="19">
        <f t="shared" si="2"/>
        <v>5</v>
      </c>
      <c r="H5" s="19">
        <f t="shared" si="2"/>
        <v>6</v>
      </c>
      <c r="I5" s="19">
        <f t="shared" si="2"/>
        <v>7</v>
      </c>
      <c r="J5" s="19">
        <f t="shared" si="2"/>
        <v>8</v>
      </c>
      <c r="K5" s="19">
        <f t="shared" si="2"/>
        <v>9</v>
      </c>
      <c r="L5" s="19">
        <f t="shared" si="2"/>
        <v>10</v>
      </c>
      <c r="M5" s="19">
        <f t="shared" si="2"/>
        <v>11</v>
      </c>
      <c r="N5" s="19">
        <f t="shared" si="2"/>
        <v>12</v>
      </c>
      <c r="O5" s="19">
        <f t="shared" si="2"/>
        <v>13</v>
      </c>
      <c r="P5" s="19">
        <f t="shared" si="2"/>
        <v>14</v>
      </c>
      <c r="Q5" s="19">
        <f t="shared" si="2"/>
        <v>15</v>
      </c>
      <c r="R5" s="19">
        <f t="shared" si="2"/>
        <v>16</v>
      </c>
      <c r="S5" s="19">
        <f t="shared" si="2"/>
        <v>17</v>
      </c>
      <c r="T5" s="19">
        <f t="shared" si="2"/>
        <v>18</v>
      </c>
      <c r="U5" s="19">
        <f t="shared" si="2"/>
        <v>19</v>
      </c>
      <c r="V5" s="19">
        <f t="shared" si="2"/>
        <v>20</v>
      </c>
      <c r="W5" s="19">
        <f t="shared" si="2"/>
        <v>21</v>
      </c>
      <c r="X5" s="19">
        <f t="shared" si="2"/>
        <v>22</v>
      </c>
      <c r="Y5" s="19">
        <f t="shared" si="2"/>
        <v>23</v>
      </c>
      <c r="Z5" s="19">
        <f t="shared" si="2"/>
        <v>24</v>
      </c>
      <c r="AA5" s="19">
        <f t="shared" si="2"/>
        <v>25</v>
      </c>
      <c r="AB5" s="19">
        <f t="shared" si="2"/>
        <v>26</v>
      </c>
      <c r="AC5" s="19">
        <f t="shared" si="2"/>
        <v>27</v>
      </c>
      <c r="AD5" s="19">
        <f t="shared" si="2"/>
        <v>28</v>
      </c>
      <c r="AE5" s="19">
        <f t="shared" si="2"/>
        <v>29</v>
      </c>
      <c r="AF5" s="19">
        <f t="shared" si="2"/>
        <v>30</v>
      </c>
      <c r="AG5" s="19">
        <f t="shared" si="2"/>
        <v>31</v>
      </c>
      <c r="AH5" s="18" t="s">
        <v>24</v>
      </c>
    </row>
    <row r="6" spans="1:34">
      <c r="A6" s="10" t="s">
        <v>23</v>
      </c>
      <c r="B6" s="15" t="s">
        <v>22</v>
      </c>
      <c r="C6" s="1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7" cm="1">
        <f t="array" ref="AH6">SUMPRODUCT((C6:AG6="휴") + (C6:AG6="연") + (C6:AG6="공")) + SUM(C6:AG6)</f>
        <v>0</v>
      </c>
    </row>
    <row r="7" spans="1:34">
      <c r="A7" s="10" t="s">
        <v>21</v>
      </c>
      <c r="B7" s="9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7" cm="1">
        <f t="array" ref="AH7">SUMPRODUCT((C7:AG7="휴") + (C7:AG7="연") + (C7:AG7="공")) + SUM(C7:AG7)</f>
        <v>0</v>
      </c>
    </row>
    <row r="8" spans="1:34">
      <c r="A8" s="6"/>
      <c r="B8" s="14"/>
      <c r="C8" s="12"/>
      <c r="D8" s="12"/>
      <c r="E8" s="12"/>
      <c r="F8" s="12"/>
      <c r="G8" s="12"/>
      <c r="H8" s="12"/>
      <c r="I8" s="12"/>
      <c r="J8" s="12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3"/>
      <c r="Z8" s="12"/>
      <c r="AA8" s="13"/>
      <c r="AB8" s="13"/>
      <c r="AC8" s="13"/>
      <c r="AD8" s="12"/>
      <c r="AE8" s="12"/>
      <c r="AF8" s="12"/>
      <c r="AG8" s="12"/>
      <c r="AH8" s="16"/>
    </row>
    <row r="9" spans="1:34">
      <c r="A9" s="10" t="s">
        <v>19</v>
      </c>
      <c r="B9" s="15" t="s">
        <v>18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7" cm="1">
        <f t="array" ref="AH9">SUMPRODUCT((C9:AG9="휴") + (C9:AG9="연") + (C9:AG9="공")) + SUM(C9:AG9)</f>
        <v>0</v>
      </c>
    </row>
    <row r="10" spans="1:34">
      <c r="A10" s="10" t="s">
        <v>17</v>
      </c>
      <c r="B10" s="15" t="s">
        <v>16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7" cm="1">
        <f t="array" ref="AH10">SUMPRODUCT((C10:AG10="휴") + (C10:AG10="연") + (C10:AG10="공")) + SUM(C10:AG10)</f>
        <v>0</v>
      </c>
    </row>
    <row r="11" spans="1:34">
      <c r="A11" s="10" t="s">
        <v>15</v>
      </c>
      <c r="B11" s="9" t="s">
        <v>14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7" cm="1">
        <f t="array" ref="AH11">SUMPRODUCT((C11:AG11="휴") + (C11:AG11="연") + (C11:AG11="공")) + SUM(C11:AG11)</f>
        <v>0</v>
      </c>
    </row>
    <row r="12" spans="1:34">
      <c r="A12" s="6"/>
      <c r="B12" s="14"/>
      <c r="C12" s="12"/>
      <c r="D12" s="12"/>
      <c r="E12" s="12"/>
      <c r="F12" s="12"/>
      <c r="G12" s="12"/>
      <c r="H12" s="12"/>
      <c r="I12" s="12"/>
      <c r="J12" s="12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2"/>
      <c r="AA12" s="13"/>
      <c r="AB12" s="13"/>
      <c r="AC12" s="13"/>
      <c r="AD12" s="12"/>
      <c r="AE12" s="12"/>
      <c r="AF12" s="12"/>
      <c r="AG12" s="12"/>
      <c r="AH12" s="16"/>
    </row>
    <row r="13" spans="1:34">
      <c r="A13" s="10" t="s">
        <v>13</v>
      </c>
      <c r="B13" s="9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7" cm="1">
        <f t="array" ref="AH13">SUMPRODUCT((C13:AG13="휴") + (C13:AG13="연") + (C13:AG13="공")) + SUM(C13:AG13)</f>
        <v>0</v>
      </c>
    </row>
    <row r="14" spans="1:34">
      <c r="A14" s="6"/>
      <c r="B14" s="14"/>
      <c r="C14" s="12"/>
      <c r="D14" s="12"/>
      <c r="E14" s="12"/>
      <c r="F14" s="12"/>
      <c r="G14" s="12"/>
      <c r="H14" s="12"/>
      <c r="I14" s="12"/>
      <c r="J14" s="12"/>
      <c r="K14" s="1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2"/>
      <c r="AA14" s="13"/>
      <c r="AB14" s="13"/>
      <c r="AC14" s="13"/>
      <c r="AD14" s="12"/>
      <c r="AE14" s="12"/>
      <c r="AF14" s="12"/>
      <c r="AG14" s="12"/>
      <c r="AH14" s="11"/>
    </row>
    <row r="15" spans="1:34">
      <c r="A15" s="10" t="s">
        <v>11</v>
      </c>
      <c r="B15" s="15" t="s">
        <v>10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7" cm="1">
        <f t="array" ref="AH15">SUMPRODUCT((C15:AG15="휴") + (C15:AG15="연") + (C15:AG15="공")) + SUM(C15:AG15)</f>
        <v>0</v>
      </c>
    </row>
    <row r="16" spans="1:34">
      <c r="A16" s="10" t="s">
        <v>9</v>
      </c>
      <c r="B16" s="15" t="s">
        <v>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7" cm="1">
        <f t="array" ref="AH16">SUMPRODUCT((C16:AG16="휴") + (C16:AG16="연") + (C16:AG16="공")) + SUM(C16:AG16)</f>
        <v>0</v>
      </c>
    </row>
    <row r="17" spans="1:34">
      <c r="A17" s="6"/>
      <c r="B17" s="14"/>
      <c r="C17" s="12"/>
      <c r="D17" s="12"/>
      <c r="E17" s="12"/>
      <c r="F17" s="12"/>
      <c r="G17" s="12"/>
      <c r="H17" s="12"/>
      <c r="I17" s="12"/>
      <c r="J17" s="12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12"/>
      <c r="AA17" s="13"/>
      <c r="AB17" s="13"/>
      <c r="AC17" s="13"/>
      <c r="AD17" s="12"/>
      <c r="AE17" s="12"/>
      <c r="AF17" s="12"/>
      <c r="AG17" s="12"/>
      <c r="AH17" s="11"/>
    </row>
    <row r="18" spans="1:34">
      <c r="A18" s="10" t="s">
        <v>7</v>
      </c>
      <c r="B18" s="9" t="s">
        <v>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7" cm="1">
        <f t="array" ref="AH18">SUMPRODUCT((C18:AG18="휴") + (C18:AG18="연") + (C18:AG18="공")) + SUM(C18:AG18)</f>
        <v>0</v>
      </c>
    </row>
    <row r="19" spans="1:34">
      <c r="A19" s="10" t="s">
        <v>5</v>
      </c>
      <c r="B19" s="9" t="s">
        <v>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7" cm="1">
        <f t="array" ref="AH19">SUMPRODUCT((C19:AG19="휴") + (C19:AG19="연") + (C19:AG19="공")) + SUM(C19:AG19)</f>
        <v>0</v>
      </c>
    </row>
    <row r="20" spans="1:34">
      <c r="A20" s="10" t="s">
        <v>3</v>
      </c>
      <c r="B20" s="9" t="s">
        <v>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7" cm="1">
        <f t="array" ref="AH20">SUMPRODUCT((C20:AG20="휴") + (C20:AG20="연") + (C20:AG20="공")) + SUM(C20:AG20)</f>
        <v>0</v>
      </c>
    </row>
    <row r="21" spans="1:34">
      <c r="A21" s="10" t="s">
        <v>1</v>
      </c>
      <c r="B21" s="9" t="s">
        <v>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7" cm="1">
        <f t="array" ref="AH21">SUMPRODUCT((C21:AG21="휴") + (C21:AG21="연") + (C21:AG21="공")) + SUM(C21:AG21)</f>
        <v>0</v>
      </c>
    </row>
    <row r="22" spans="1:34">
      <c r="A22" s="6"/>
      <c r="B22" s="5"/>
      <c r="C22" s="3"/>
      <c r="D22" s="4"/>
      <c r="E22" s="3"/>
      <c r="F22" s="3"/>
      <c r="G22" s="4"/>
      <c r="H22" s="3"/>
      <c r="I22" s="4"/>
      <c r="J22" s="3"/>
      <c r="K22" s="3"/>
      <c r="L22" s="3"/>
      <c r="M22" s="3"/>
      <c r="N22" s="4"/>
      <c r="O22" s="3"/>
      <c r="P22" s="3"/>
      <c r="Q22" s="3"/>
      <c r="R22" s="4"/>
      <c r="S22" s="4"/>
      <c r="T22" s="4"/>
      <c r="U22" s="3"/>
      <c r="V22" s="3"/>
      <c r="W22" s="4"/>
      <c r="X22" s="3"/>
      <c r="Y22" s="3"/>
      <c r="Z22" s="3"/>
      <c r="AA22" s="3"/>
      <c r="AB22" s="3"/>
      <c r="AC22" s="4"/>
      <c r="AD22" s="4"/>
      <c r="AE22" s="3"/>
      <c r="AF22" s="3"/>
      <c r="AG22" s="3"/>
      <c r="AH22" s="2">
        <f>SUM(AH6:AH20)</f>
        <v>0</v>
      </c>
    </row>
  </sheetData>
  <mergeCells count="1">
    <mergeCell ref="C3:AG3"/>
  </mergeCells>
  <phoneticPr fontId="3" type="noConversion"/>
  <conditionalFormatting sqref="C4:AG4">
    <cfRule type="cellIs" dxfId="5" priority="2" operator="equal">
      <formula>"토"</formula>
    </cfRule>
    <cfRule type="cellIs" dxfId="4" priority="3" operator="equal">
      <formula>"일"</formula>
    </cfRule>
  </conditionalFormatting>
  <conditionalFormatting sqref="C6:AG21">
    <cfRule type="expression" dxfId="3" priority="1">
      <formula>ISNUMBER(C6)</formula>
    </cfRule>
    <cfRule type="cellIs" dxfId="2" priority="4" operator="equal">
      <formula>"휴"</formula>
    </cfRule>
    <cfRule type="cellIs" dxfId="1" priority="5" operator="equal">
      <formula>"연"</formula>
    </cfRule>
    <cfRule type="cellIs" dxfId="0" priority="6" operator="equal">
      <formula>"공"</formula>
    </cfRule>
  </conditionalFormatting>
  <conditionalFormatting sqref="AH6:AH22">
    <cfRule type="dataBar" priority="7">
      <dataBar>
        <cfvo type="num" val="0"/>
        <cfvo type="num" val="31"/>
        <color rgb="FFC3C79C"/>
      </dataBar>
      <extLst>
        <ext xmlns:x14="http://schemas.microsoft.com/office/spreadsheetml/2009/9/main" uri="{B025F937-C7B1-47D3-B67F-A62EFF666E3E}">
          <x14:id>{7E13E8F5-05E7-4D38-A7F4-69B1D2E8C05A}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13E8F5-05E7-4D38-A7F4-69B1D2E8C05A}">
            <x14:dataBar minLength="0" maxLength="100" negativeBarColorSameAsPositive="1" axisPosition="none">
              <x14:cfvo type="num">
                <xm:f>0</xm:f>
              </x14:cfvo>
              <x14:cfvo type="num">
                <xm:f>31</xm:f>
              </x14:cfvo>
            </x14:dataBar>
          </x14:cfRule>
          <xm:sqref>AH6:AH22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직원근무표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damtajomyo damtajomyo</dc:creator>
  <cp:lastModifiedBy>damtajomyo damtajomyo</cp:lastModifiedBy>
  <dcterms:created xsi:type="dcterms:W3CDTF">2026-10-19T01:05:14Z</dcterms:created>
  <dcterms:modified xsi:type="dcterms:W3CDTF">2026-10-19T01:14:25Z</dcterms:modified>
</cp:coreProperties>
</file>